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m/Desktop/"/>
    </mc:Choice>
  </mc:AlternateContent>
  <xr:revisionPtr revIDLastSave="0" documentId="8_{5FEB11B1-1A18-5343-917A-C3C12B9950B8}" xr6:coauthVersionLast="47" xr6:coauthVersionMax="47" xr10:uidLastSave="{00000000-0000-0000-0000-000000000000}"/>
  <bookViews>
    <workbookView xWindow="13520" yWindow="1320" windowWidth="27640" windowHeight="16680" activeTab="3" xr2:uid="{0E8DC1DC-A4C1-564A-B46A-68464D792645}"/>
  </bookViews>
  <sheets>
    <sheet name="MAPE" sheetId="1" r:id="rId1"/>
    <sheet name="R2" sheetId="2" r:id="rId2"/>
    <sheet name="MAE" sheetId="3" r:id="rId3"/>
    <sheet name="RMS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E7" i="4"/>
  <c r="E6" i="4"/>
  <c r="E5" i="4"/>
  <c r="E4" i="4"/>
  <c r="E3" i="4"/>
  <c r="E8" i="3"/>
  <c r="E7" i="3"/>
  <c r="E6" i="3"/>
  <c r="E5" i="3"/>
  <c r="E4" i="3"/>
  <c r="E3" i="3"/>
  <c r="E8" i="2"/>
  <c r="E7" i="2"/>
  <c r="E6" i="2"/>
  <c r="E5" i="2"/>
  <c r="E4" i="2"/>
  <c r="E3" i="2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<sst xmlns="http://schemas.openxmlformats.org/spreadsheetml/2006/main" count="48" uniqueCount="15">
  <si>
    <t>Model</t>
  </si>
  <si>
    <t>MAPE</t>
  </si>
  <si>
    <t>L*</t>
  </si>
  <si>
    <t>a*</t>
  </si>
  <si>
    <t>b*</t>
  </si>
  <si>
    <t>Average</t>
  </si>
  <si>
    <t>LR</t>
  </si>
  <si>
    <t>KNN</t>
  </si>
  <si>
    <t>DT</t>
  </si>
  <si>
    <t>RF</t>
  </si>
  <si>
    <t>SVR</t>
  </si>
  <si>
    <t>MLP</t>
  </si>
  <si>
    <t>R2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</si>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</sst>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8621-77EB-9048-A0FB-7E21DBEEAD50}">
  <dimension ref="A1:E8"/>
  <sheetViews>
    <sheetView workbookViewId="0">
      <selection activeCell="C17" sqref="C17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</v>
      </c>
      <c r="C1" s="2"/>
      <c r="D1" s="2"/>
      <c r="E1" s="2"/>
    </row>
    <row r="2" spans="1:5" ht="18" thickBot="1" x14ac:dyDescent="0.25">
      <c r="A2" s="3"/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>
        <v>0.162418787993102</v>
      </c>
      <c r="C3">
        <v>0.13137852106140299</v>
      </c>
      <c r="D3">
        <v>0.21234673358978801</v>
      </c>
      <c r="E3">
        <f>(B3+C3+D3)/3</f>
        <v>0.16871468088143096</v>
      </c>
    </row>
    <row r="4" spans="1:5" x14ac:dyDescent="0.2">
      <c r="A4" s="5" t="s">
        <v>7</v>
      </c>
      <c r="B4">
        <v>0.134760602284766</v>
      </c>
      <c r="C4">
        <v>0.115283895687325</v>
      </c>
      <c r="D4">
        <v>0.18617721507280899</v>
      </c>
      <c r="E4">
        <f t="shared" ref="E4:E8" si="0">(B4+C4+D4)/3</f>
        <v>0.14540723768163333</v>
      </c>
    </row>
    <row r="5" spans="1:5" x14ac:dyDescent="0.2">
      <c r="A5" s="5" t="s">
        <v>8</v>
      </c>
      <c r="B5">
        <v>0.126831431921889</v>
      </c>
      <c r="C5">
        <v>0.102902283592353</v>
      </c>
      <c r="D5">
        <v>0.15941683504909701</v>
      </c>
      <c r="E5">
        <f t="shared" si="0"/>
        <v>0.12971685018777968</v>
      </c>
    </row>
    <row r="6" spans="1:5" x14ac:dyDescent="0.2">
      <c r="A6" s="5" t="s">
        <v>9</v>
      </c>
      <c r="B6">
        <v>0.13549319924251399</v>
      </c>
      <c r="C6">
        <v>0.11688104911709001</v>
      </c>
      <c r="D6">
        <v>0.19059572802397701</v>
      </c>
      <c r="E6">
        <f t="shared" si="0"/>
        <v>0.147656658794527</v>
      </c>
    </row>
    <row r="7" spans="1:5" x14ac:dyDescent="0.2">
      <c r="A7" s="5" t="s">
        <v>10</v>
      </c>
      <c r="B7">
        <v>0.123985180246156</v>
      </c>
      <c r="C7">
        <v>0.11020104729093699</v>
      </c>
      <c r="D7">
        <v>0.14292891581019901</v>
      </c>
      <c r="E7">
        <f t="shared" si="0"/>
        <v>0.12570504778243066</v>
      </c>
    </row>
    <row r="8" spans="1:5" x14ac:dyDescent="0.2">
      <c r="A8" s="5" t="s">
        <v>11</v>
      </c>
      <c r="B8">
        <v>0.113630970367541</v>
      </c>
      <c r="C8">
        <v>0.12947594266607601</v>
      </c>
      <c r="D8">
        <v>0.16853414744530601</v>
      </c>
      <c r="E8">
        <f t="shared" si="0"/>
        <v>0.13721368682630766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5952-8053-694C-94EB-26EB2DAE85D2}">
  <dimension ref="A1:E8"/>
  <sheetViews>
    <sheetView workbookViewId="0">
      <selection sqref="A1:E8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12</v>
      </c>
      <c r="C1" s="2"/>
      <c r="D1" s="2"/>
      <c r="E1" s="2"/>
    </row>
    <row r="2" spans="1:5" ht="18" thickBot="1" x14ac:dyDescent="0.25">
      <c r="A2" s="3"/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>
        <v>0.169721993591469</v>
      </c>
      <c r="C3">
        <v>0.35755521271155499</v>
      </c>
      <c r="D3">
        <v>0.30349711806458002</v>
      </c>
      <c r="E3">
        <f>(B3+C3+D3)/3</f>
        <v>0.27692477478920136</v>
      </c>
    </row>
    <row r="4" spans="1:5" x14ac:dyDescent="0.2">
      <c r="A4" s="5" t="s">
        <v>7</v>
      </c>
      <c r="B4">
        <v>5.0097625023105601E-2</v>
      </c>
      <c r="C4">
        <v>0.46215863159916798</v>
      </c>
      <c r="D4">
        <v>0.46358401484112899</v>
      </c>
      <c r="E4">
        <f t="shared" ref="E4:E8" si="0">(B4+C4+D4)/3</f>
        <v>0.32528009048780088</v>
      </c>
    </row>
    <row r="5" spans="1:5" x14ac:dyDescent="0.2">
      <c r="A5" s="5" t="s">
        <v>8</v>
      </c>
      <c r="B5">
        <v>0.208055306449172</v>
      </c>
      <c r="C5">
        <v>0.32644843721158201</v>
      </c>
      <c r="D5">
        <v>5.40432685996017E-2</v>
      </c>
      <c r="E5">
        <f t="shared" si="0"/>
        <v>0.19618233742011859</v>
      </c>
    </row>
    <row r="6" spans="1:5" x14ac:dyDescent="0.2">
      <c r="A6" s="5" t="s">
        <v>9</v>
      </c>
      <c r="B6">
        <v>2.9362518968880601E-2</v>
      </c>
      <c r="C6">
        <v>0.49064203242386401</v>
      </c>
      <c r="D6">
        <v>0.44856728747737501</v>
      </c>
      <c r="E6">
        <f t="shared" si="0"/>
        <v>0.32285727962337324</v>
      </c>
    </row>
    <row r="7" spans="1:5" x14ac:dyDescent="0.2">
      <c r="A7" s="5" t="s">
        <v>10</v>
      </c>
      <c r="B7">
        <v>0.57195294861115598</v>
      </c>
      <c r="C7">
        <v>0.60802057530046005</v>
      </c>
      <c r="D7">
        <v>0.68082120535276902</v>
      </c>
      <c r="E7">
        <f t="shared" si="0"/>
        <v>0.62026490975479509</v>
      </c>
    </row>
    <row r="8" spans="1:5" x14ac:dyDescent="0.2">
      <c r="A8" s="5" t="s">
        <v>11</v>
      </c>
      <c r="B8">
        <v>0.28340459557334302</v>
      </c>
      <c r="C8">
        <v>0.43445460193428798</v>
      </c>
      <c r="D8">
        <v>0.59915038506259499</v>
      </c>
      <c r="E8">
        <f t="shared" si="0"/>
        <v>0.43900319419007533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8F68-1906-F147-A525-C8A7AEC17C31}">
  <dimension ref="A1:E8"/>
  <sheetViews>
    <sheetView workbookViewId="0">
      <selection sqref="A1:E8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13</v>
      </c>
      <c r="C1" s="2"/>
      <c r="D1" s="2"/>
      <c r="E1" s="2"/>
    </row>
    <row r="2" spans="1:5" ht="18" thickBot="1" x14ac:dyDescent="0.25">
      <c r="A2" s="3"/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>
        <v>3.5021644062328798</v>
      </c>
      <c r="C3">
        <v>3.6635031864190402</v>
      </c>
      <c r="D3">
        <v>4.0769475851097798</v>
      </c>
      <c r="E3">
        <f>(B3+C3+D3)/3</f>
        <v>3.747538392587233</v>
      </c>
    </row>
    <row r="4" spans="1:5" x14ac:dyDescent="0.2">
      <c r="A4" s="5" t="s">
        <v>7</v>
      </c>
      <c r="B4">
        <v>3.0048648648648602</v>
      </c>
      <c r="C4">
        <v>3.23378378378378</v>
      </c>
      <c r="D4">
        <v>3.4524324324324298</v>
      </c>
      <c r="E4">
        <f t="shared" ref="E4:E8" si="0">(B4+C4+D4)/3</f>
        <v>3.2303603603603563</v>
      </c>
    </row>
    <row r="5" spans="1:5" x14ac:dyDescent="0.2">
      <c r="A5" s="5" t="s">
        <v>8</v>
      </c>
      <c r="B5">
        <v>3.4920448387553602</v>
      </c>
      <c r="C5">
        <v>3.5480909480909402</v>
      </c>
      <c r="D5">
        <v>4.1091498966498898</v>
      </c>
      <c r="E5">
        <f t="shared" si="0"/>
        <v>3.7164285611653969</v>
      </c>
    </row>
    <row r="6" spans="1:5" x14ac:dyDescent="0.2">
      <c r="A6" s="5" t="s">
        <v>9</v>
      </c>
      <c r="B6">
        <v>3.0190540540540498</v>
      </c>
      <c r="C6">
        <v>3.1353320859218599</v>
      </c>
      <c r="D6">
        <v>3.4566891891891798</v>
      </c>
      <c r="E6">
        <f t="shared" si="0"/>
        <v>3.203691776388363</v>
      </c>
    </row>
    <row r="7" spans="1:5" x14ac:dyDescent="0.2">
      <c r="A7" s="5" t="s">
        <v>10</v>
      </c>
      <c r="B7">
        <v>2.7193952107413701</v>
      </c>
      <c r="C7">
        <v>3.0036350784539501</v>
      </c>
      <c r="D7">
        <v>2.6521487015404599</v>
      </c>
      <c r="E7">
        <f t="shared" si="0"/>
        <v>2.7917263302452597</v>
      </c>
    </row>
    <row r="8" spans="1:5" x14ac:dyDescent="0.2">
      <c r="A8" s="5" t="s">
        <v>11</v>
      </c>
      <c r="B8">
        <v>2.6808407806275798</v>
      </c>
      <c r="C8">
        <v>3.5846925728121102</v>
      </c>
      <c r="D8">
        <v>2.98129955110524</v>
      </c>
      <c r="E8">
        <f t="shared" si="0"/>
        <v>3.0822776348483099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6019-1835-6346-B0CA-887F6914191C}">
  <dimension ref="A1:E8"/>
  <sheetViews>
    <sheetView tabSelected="1" workbookViewId="0">
      <selection activeCell="F12" sqref="F12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14</v>
      </c>
      <c r="C1" s="2"/>
      <c r="D1" s="2"/>
      <c r="E1" s="2"/>
    </row>
    <row r="2" spans="1:5" ht="18" thickBot="1" x14ac:dyDescent="0.25">
      <c r="A2" s="3"/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5" t="s">
        <v>6</v>
      </c>
      <c r="B3">
        <v>5.1867681114039801</v>
      </c>
      <c r="C3">
        <v>4.6418116699403296</v>
      </c>
      <c r="D3">
        <v>5.1545210152627696</v>
      </c>
      <c r="E3">
        <f>(B3+C3+D3)/3</f>
        <v>4.9943669322023601</v>
      </c>
    </row>
    <row r="4" spans="1:5" x14ac:dyDescent="0.2">
      <c r="A4" s="5" t="s">
        <v>7</v>
      </c>
      <c r="B4">
        <v>4.6740676191202102</v>
      </c>
      <c r="C4">
        <v>4.2471413279357</v>
      </c>
      <c r="D4">
        <v>4.5235324632355498</v>
      </c>
      <c r="E4">
        <f t="shared" ref="E4:E8" si="0">(B4+C4+D4)/3</f>
        <v>4.4815804700971533</v>
      </c>
    </row>
    <row r="5" spans="1:5" x14ac:dyDescent="0.2">
      <c r="A5" s="5" t="s">
        <v>8</v>
      </c>
      <c r="B5">
        <v>5.2710715681002096</v>
      </c>
      <c r="C5">
        <v>4.7528601462030498</v>
      </c>
      <c r="D5">
        <v>6.0070672189341101</v>
      </c>
      <c r="E5">
        <f t="shared" si="0"/>
        <v>5.3436663110791232</v>
      </c>
    </row>
    <row r="6" spans="1:5" x14ac:dyDescent="0.2">
      <c r="A6" s="5" t="s">
        <v>9</v>
      </c>
      <c r="B6">
        <v>4.8656367114806303</v>
      </c>
      <c r="C6">
        <v>4.1331499642397302</v>
      </c>
      <c r="D6">
        <v>4.5864125671908802</v>
      </c>
      <c r="E6">
        <f t="shared" si="0"/>
        <v>4.5283997476370805</v>
      </c>
    </row>
    <row r="7" spans="1:5" x14ac:dyDescent="0.2">
      <c r="A7" s="5" t="s">
        <v>10</v>
      </c>
      <c r="B7">
        <v>3.13762660667585</v>
      </c>
      <c r="C7">
        <v>3.6257783115494902</v>
      </c>
      <c r="D7">
        <v>3.48934467515654</v>
      </c>
      <c r="E7">
        <f t="shared" si="0"/>
        <v>3.4175831977939599</v>
      </c>
    </row>
    <row r="8" spans="1:5" x14ac:dyDescent="0.2">
      <c r="A8" s="5" t="s">
        <v>11</v>
      </c>
      <c r="B8">
        <v>4.0596866504234699</v>
      </c>
      <c r="C8">
        <v>4.35515230709085</v>
      </c>
      <c r="D8">
        <v>3.9103676475306499</v>
      </c>
      <c r="E8">
        <f t="shared" si="0"/>
        <v>4.108402201681657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MAPE</vt:lpstr>
      <vt:lpstr>R2</vt:lpstr>
      <vt:lpstr>MAE</vt:lpstr>
      <vt:lpstr>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Pilehvar Meibody  Ali</dc:creator>
  <cp:lastModifiedBy>Pilehvar Meibody  Ali</cp:lastModifiedBy>
  <dcterms:created xsi:type="dcterms:W3CDTF">2026-01-22T11:41:37Z</dcterms:created>
  <dcterms:modified xsi:type="dcterms:W3CDTF">2026-01-22T11:42:35Z</dcterms:modified>
</cp:coreProperties>
</file>